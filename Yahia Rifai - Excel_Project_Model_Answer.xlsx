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4DF78BAD-1310-480C-91C1-2C4C60AC520B}" xr6:coauthVersionLast="47" xr6:coauthVersionMax="47" xr10:uidLastSave="{00000000-0000-0000-0000-000000000000}"/>
  <bookViews>
    <workbookView xWindow="-120" yWindow="-120" windowWidth="29040" windowHeight="16440" xr2:uid="{00000000-000D-0000-FFFF-FFFF00000000}"/>
  </bookViews>
  <sheets>
    <sheet name="Raw Data" sheetId="1" r:id="rId1"/>
    <sheet name="Pivot 1" sheetId="9" r:id="rId2"/>
    <sheet name="Pivot 2" sheetId="11" r:id="rId3"/>
    <sheet name="Pivot 3" sheetId="12" r:id="rId4"/>
    <sheet name="Pivot 4" sheetId="14" r:id="rId5"/>
    <sheet name="Dashboard" sheetId="8" r:id="rId6"/>
    <sheet name="Summary" sheetId="2" r:id="rId7"/>
  </sheets>
  <definedNames>
    <definedName name="Slicer_Category">#N/A</definedName>
    <definedName name="Slicer_City">#N/A</definedName>
  </definedNames>
  <calcPr calcId="191029"/>
  <pivotCaches>
    <pivotCache cacheId="3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8" l="1"/>
  <c r="B6" i="8"/>
  <c r="B5" i="8"/>
  <c r="B4" i="8"/>
  <c r="B3" i="8"/>
  <c r="O2" i="1"/>
  <c r="O3" i="1"/>
  <c r="O4" i="1"/>
  <c r="O5" i="1"/>
  <c r="O6" i="1"/>
  <c r="O7" i="1"/>
  <c r="O8" i="1"/>
  <c r="O9" i="1"/>
  <c r="O10" i="1"/>
  <c r="O11" i="1"/>
  <c r="O12" i="1"/>
  <c r="O13" i="1"/>
  <c r="M2" i="1"/>
  <c r="N13" i="1"/>
  <c r="M13" i="1"/>
  <c r="N12" i="1"/>
  <c r="M12" i="1"/>
  <c r="N11" i="1"/>
  <c r="M11" i="1"/>
  <c r="N10" i="1"/>
  <c r="M10" i="1"/>
  <c r="N9" i="1"/>
  <c r="M9" i="1"/>
  <c r="N8" i="1"/>
  <c r="M8" i="1"/>
  <c r="N7" i="1"/>
  <c r="M7" i="1"/>
  <c r="N6" i="1"/>
  <c r="M6" i="1"/>
  <c r="N5" i="1"/>
  <c r="M5" i="1"/>
  <c r="N4" i="1"/>
  <c r="M4" i="1"/>
  <c r="N3" i="1"/>
  <c r="M3" i="1"/>
  <c r="N2" i="1"/>
</calcChain>
</file>

<file path=xl/sharedStrings.xml><?xml version="1.0" encoding="utf-8"?>
<sst xmlns="http://schemas.openxmlformats.org/spreadsheetml/2006/main" count="151" uniqueCount="89">
  <si>
    <t>OrderID</t>
  </si>
  <si>
    <t>OrderDate</t>
  </si>
  <si>
    <t>CustomerName</t>
  </si>
  <si>
    <t>City</t>
  </si>
  <si>
    <t>ProductID</t>
  </si>
  <si>
    <t>ProductName</t>
  </si>
  <si>
    <t>Category</t>
  </si>
  <si>
    <t>SalesAmount</t>
  </si>
  <si>
    <t>Quantity</t>
  </si>
  <si>
    <t>Cost</t>
  </si>
  <si>
    <t>PaymentMethod</t>
  </si>
  <si>
    <t>Salesperson</t>
  </si>
  <si>
    <t>Profit</t>
  </si>
  <si>
    <t>SalesCategory</t>
  </si>
  <si>
    <t>2025-03-01</t>
  </si>
  <si>
    <t>Ahmad</t>
  </si>
  <si>
    <t>Amman</t>
  </si>
  <si>
    <t>P001</t>
  </si>
  <si>
    <t>Mouse</t>
  </si>
  <si>
    <t>Electronics</t>
  </si>
  <si>
    <t>Cash</t>
  </si>
  <si>
    <t>Lina</t>
  </si>
  <si>
    <t>2025-03-02</t>
  </si>
  <si>
    <t>Sara</t>
  </si>
  <si>
    <t>Zarqa</t>
  </si>
  <si>
    <t>P002</t>
  </si>
  <si>
    <t>Keyboard</t>
  </si>
  <si>
    <t>Card</t>
  </si>
  <si>
    <t>Omar</t>
  </si>
  <si>
    <t>2025-03-03</t>
  </si>
  <si>
    <t>Ali</t>
  </si>
  <si>
    <t>Irbid</t>
  </si>
  <si>
    <t>P003</t>
  </si>
  <si>
    <t>Notebook</t>
  </si>
  <si>
    <t>Stationery</t>
  </si>
  <si>
    <t>2025-03-05</t>
  </si>
  <si>
    <t>Rana</t>
  </si>
  <si>
    <t>P004</t>
  </si>
  <si>
    <t>Pen Set</t>
  </si>
  <si>
    <t>Khaled</t>
  </si>
  <si>
    <t>Aqaba</t>
  </si>
  <si>
    <t>P005</t>
  </si>
  <si>
    <t>Water Bottle</t>
  </si>
  <si>
    <t>Accessories</t>
  </si>
  <si>
    <t>2025-03-08</t>
  </si>
  <si>
    <t>Maha</t>
  </si>
  <si>
    <t>P006</t>
  </si>
  <si>
    <t>Backpack</t>
  </si>
  <si>
    <t>2025-03-10</t>
  </si>
  <si>
    <t>Yousef</t>
  </si>
  <si>
    <t>P007</t>
  </si>
  <si>
    <t>Headphones</t>
  </si>
  <si>
    <t>2025-03-12</t>
  </si>
  <si>
    <t>Nour</t>
  </si>
  <si>
    <t>P008</t>
  </si>
  <si>
    <t>Desk Lamp</t>
  </si>
  <si>
    <t>Furniture</t>
  </si>
  <si>
    <t>2025-03-15</t>
  </si>
  <si>
    <t>Huda</t>
  </si>
  <si>
    <t>P009</t>
  </si>
  <si>
    <t>Office Chair</t>
  </si>
  <si>
    <t>2025-03-18</t>
  </si>
  <si>
    <t>P010</t>
  </si>
  <si>
    <t>Monitor</t>
  </si>
  <si>
    <t>2025-03-20</t>
  </si>
  <si>
    <t>2025-03-22</t>
  </si>
  <si>
    <t>KPI</t>
  </si>
  <si>
    <t>Value</t>
  </si>
  <si>
    <t>Total Sales</t>
  </si>
  <si>
    <t>Total Profit</t>
  </si>
  <si>
    <t>Average Sales</t>
  </si>
  <si>
    <t>Max Sale</t>
  </si>
  <si>
    <t>Min Sale</t>
  </si>
  <si>
    <t>Row Labels</t>
  </si>
  <si>
    <t>Grand Total</t>
  </si>
  <si>
    <t>Sum of SalesAmount</t>
  </si>
  <si>
    <t>Month</t>
  </si>
  <si>
    <t>Mar 2025</t>
  </si>
  <si>
    <t>Best Category: Electronics</t>
  </si>
  <si>
    <t>Top City: Amman</t>
  </si>
  <si>
    <t>Top Salesperson: Omar</t>
  </si>
  <si>
    <t>Average Sales: 41.42</t>
  </si>
  <si>
    <t>Lowest Sales Category: Stationery</t>
  </si>
  <si>
    <t>Recommendations</t>
  </si>
  <si>
    <t>Focus on Electronics products</t>
  </si>
  <si>
    <t>Improve low-performing categories</t>
  </si>
  <si>
    <t>Expand business in Amman</t>
  </si>
  <si>
    <t>Analyze top salesperson performance</t>
  </si>
  <si>
    <t>Use dashboard for decision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</si>
</sst>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rgb="FFFF0000"/>
      <name val="Calibri"/>
      <family val="2"/>
      <scheme val="minor"/>
    </font>
    <font>
      <b/>
      <sz val="11"/>
      <color theme="4" tint="-0.249977111117893"/>
      <name val="Calibri"/>
      <family val="2"/>
      <scheme val="minor"/>
    </font>
    <font>
      <b/>
      <sz val="11"/>
      <color theme="6" tint="-0.499984740745262"/>
      <name val="Calibri"/>
      <family val="2"/>
      <scheme val="minor"/>
    </font>
    <font>
      <b/>
      <sz val="11"/>
      <color rgb="FFFFC000"/>
      <name val="Calibri"/>
      <family val="2"/>
      <scheme val="minor"/>
    </font>
    <font>
      <b/>
      <sz val="11"/>
      <color rgb="FF002060"/>
      <name val="Calibri"/>
      <family val="2"/>
      <scheme val="minor"/>
    </font>
    <font>
      <sz val="16"/>
      <color rgb="FFC00000"/>
      <name val="Calibri"/>
      <family val="2"/>
      <scheme val="minor"/>
    </font>
    <font>
      <sz val="16"/>
      <color theme="3" tint="-0.249977111117893"/>
      <name val="Calibri"/>
      <family val="2"/>
      <scheme val="minor"/>
    </font>
    <font>
      <sz val="16"/>
      <color theme="6" tint="-0.499984740745262"/>
      <name val="Calibri"/>
      <family val="2"/>
      <scheme val="minor"/>
    </font>
    <font>
      <sz val="16"/>
      <color rgb="FFFFC000"/>
      <name val="Calibri"/>
      <family val="2"/>
      <scheme val="minor"/>
    </font>
    <font>
      <sz val="16"/>
      <color rgb="FF002060"/>
      <name val="Calibri"/>
      <family val="2"/>
      <scheme val="minor"/>
    </font>
  </fonts>
  <fills count="13">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50"/>
        <bgColor indexed="64"/>
      </patternFill>
    </fill>
    <fill>
      <patternFill patternType="solid">
        <fgColor theme="7" tint="0.79998168889431442"/>
        <bgColor indexed="64"/>
      </patternFill>
    </fill>
    <fill>
      <patternFill patternType="solid">
        <fgColor theme="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2" fontId="9" fillId="0" borderId="0" xfId="0" applyNumberFormat="1" applyFont="1"/>
    <xf numFmtId="0" fontId="10" fillId="0" borderId="0" xfId="0" applyFont="1"/>
    <xf numFmtId="0" fontId="1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cellXfs>
  <cellStyles count="1">
    <cellStyle name="Normal" xfId="0" builtinId="0"/>
  </cellStyles>
  <dxfs count="2">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[Yahia Rifai - Excel_Project_Model_Answer.xlsx]Pivot 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1'!$A$4:$A$8</c:f>
              <c:strCache>
                <c:ptCount val="4"/>
                <c:pt idx="0">
                  <c:v>Accessories</c:v>
                </c:pt>
                <c:pt idx="1">
                  <c:v>Electronics</c:v>
                </c:pt>
                <c:pt idx="2">
                  <c:v>Furniture</c:v>
                </c:pt>
                <c:pt idx="3">
                  <c:v>Stationery</c:v>
                </c:pt>
              </c:strCache>
            </c:strRef>
          </c:cat>
          <c:val>
            <c:numRef>
              <c:f>'Pivot 1'!$B$4:$B$8</c:f>
              <c:numCache>
                <c:formatCode>General</c:formatCode>
                <c:ptCount val="4"/>
                <c:pt idx="0">
                  <c:v>70</c:v>
                </c:pt>
                <c:pt idx="1">
                  <c:v>294</c:v>
                </c:pt>
                <c:pt idx="2">
                  <c:v>108</c:v>
                </c:pt>
                <c:pt idx="3">
                  <c:v>25</c:v>
                </c:pt>
              </c:numCache>
            </c:numRef>
          </c:val>
          <c:extLst>
            <c:ext xmlns:c16="http://schemas.microsoft.com/office/drawing/2014/chart" uri="{C3380CC4-5D6E-409C-BE32-E72D297353CC}">
              <c16:uniqueId val="{00000000-C674-4823-A8B0-3AEDBF174557}"/>
            </c:ext>
          </c:extLst>
        </c:ser>
        <c:dLbls>
          <c:showLegendKey val="0"/>
          <c:showVal val="0"/>
          <c:showCatName val="0"/>
          <c:showSerName val="0"/>
          <c:showPercent val="0"/>
          <c:showBubbleSize val="0"/>
        </c:dLbls>
        <c:gapWidth val="219"/>
        <c:overlap val="-27"/>
        <c:axId val="2085517456"/>
        <c:axId val="2085517040"/>
      </c:barChart>
      <c:catAx>
        <c:axId val="208551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17040"/>
        <c:crosses val="autoZero"/>
        <c:auto val="1"/>
        <c:lblAlgn val="ctr"/>
        <c:lblOffset val="100"/>
        <c:noMultiLvlLbl val="0"/>
      </c:catAx>
      <c:valAx>
        <c:axId val="208551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1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[Yahia Rifai - Excel_Project_Model_Answer.xlsx]Pivot 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2'!$A$4:$A$8</c:f>
              <c:strCache>
                <c:ptCount val="4"/>
                <c:pt idx="0">
                  <c:v>Amman</c:v>
                </c:pt>
                <c:pt idx="1">
                  <c:v>Aqaba</c:v>
                </c:pt>
                <c:pt idx="2">
                  <c:v>Irbid</c:v>
                </c:pt>
                <c:pt idx="3">
                  <c:v>Zarqa</c:v>
                </c:pt>
              </c:strCache>
            </c:strRef>
          </c:cat>
          <c:val>
            <c:numRef>
              <c:f>'Pivot 2'!$B$4:$B$8</c:f>
              <c:numCache>
                <c:formatCode>General</c:formatCode>
                <c:ptCount val="4"/>
                <c:pt idx="0">
                  <c:v>214</c:v>
                </c:pt>
                <c:pt idx="1">
                  <c:v>170</c:v>
                </c:pt>
                <c:pt idx="2">
                  <c:v>27</c:v>
                </c:pt>
                <c:pt idx="3">
                  <c:v>86</c:v>
                </c:pt>
              </c:numCache>
            </c:numRef>
          </c:val>
          <c:extLst>
            <c:ext xmlns:c16="http://schemas.microsoft.com/office/drawing/2014/chart" uri="{C3380CC4-5D6E-409C-BE32-E72D297353CC}">
              <c16:uniqueId val="{00000000-AFBE-46A1-A49A-75C0754A5853}"/>
            </c:ext>
          </c:extLst>
        </c:ser>
        <c:dLbls>
          <c:showLegendKey val="0"/>
          <c:showVal val="0"/>
          <c:showCatName val="0"/>
          <c:showSerName val="0"/>
          <c:showPercent val="0"/>
          <c:showBubbleSize val="0"/>
        </c:dLbls>
        <c:gapWidth val="182"/>
        <c:axId val="2123642112"/>
        <c:axId val="2123643360"/>
      </c:barChart>
      <c:catAx>
        <c:axId val="212364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643360"/>
        <c:crosses val="autoZero"/>
        <c:auto val="1"/>
        <c:lblAlgn val="ctr"/>
        <c:lblOffset val="100"/>
        <c:noMultiLvlLbl val="0"/>
      </c:catAx>
      <c:valAx>
        <c:axId val="2123643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64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[Yahia Rifai - Excel_Project_Model_Answer.xlsx]Pivot 4!PivotTable9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4'!$B$3</c:f>
              <c:strCache>
                <c:ptCount val="1"/>
                <c:pt idx="0">
                  <c:v>Total</c:v>
                </c:pt>
              </c:strCache>
            </c:strRef>
          </c:tx>
          <c:spPr>
            <a:ln w="28575" cap="rnd">
              <a:solidFill>
                <a:schemeClr val="accent1"/>
              </a:solidFill>
              <a:round/>
            </a:ln>
            <a:effectLst/>
          </c:spPr>
          <c:marker>
            <c:symbol val="none"/>
          </c:marker>
          <c:cat>
            <c:strRef>
              <c:f>'Pivot 4'!$A$4:$A$5</c:f>
              <c:strCache>
                <c:ptCount val="1"/>
                <c:pt idx="0">
                  <c:v>Mar 2025</c:v>
                </c:pt>
              </c:strCache>
            </c:strRef>
          </c:cat>
          <c:val>
            <c:numRef>
              <c:f>'Pivot 4'!$B$4:$B$5</c:f>
              <c:numCache>
                <c:formatCode>General</c:formatCode>
                <c:ptCount val="1"/>
                <c:pt idx="0">
                  <c:v>497</c:v>
                </c:pt>
              </c:numCache>
            </c:numRef>
          </c:val>
          <c:smooth val="0"/>
          <c:extLst>
            <c:ext xmlns:c16="http://schemas.microsoft.com/office/drawing/2014/chart" uri="{C3380CC4-5D6E-409C-BE32-E72D297353CC}">
              <c16:uniqueId val="{00000000-AAB9-4A45-9113-159D0D74C646}"/>
            </c:ext>
          </c:extLst>
        </c:ser>
        <c:dLbls>
          <c:showLegendKey val="0"/>
          <c:showVal val="0"/>
          <c:showCatName val="0"/>
          <c:showSerName val="0"/>
          <c:showPercent val="0"/>
          <c:showBubbleSize val="0"/>
        </c:dLbls>
        <c:smooth val="0"/>
        <c:axId val="2081910144"/>
        <c:axId val="2081911392"/>
      </c:lineChart>
      <c:catAx>
        <c:axId val="208191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11392"/>
        <c:crosses val="autoZero"/>
        <c:auto val="1"/>
        <c:lblAlgn val="ctr"/>
        <c:lblOffset val="100"/>
        <c:noMultiLvlLbl val="0"/>
      </c:catAx>
      <c:valAx>
        <c:axId val="208191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1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171449</xdr:rowOff>
    </xdr:from>
    <xdr:to>
      <xdr:col>7</xdr:col>
      <xdr:colOff>209550</xdr:colOff>
      <xdr:row>23</xdr:row>
      <xdr:rowOff>47624</xdr:rowOff>
    </xdr:to>
    <xdr:graphicFrame macro="">
      <xdr:nvGraphicFramePr>
        <xdr:cNvPr id="9" name="Chart 8">
          <a:extLst>
            <a:ext uri="{FF2B5EF4-FFF2-40B4-BE49-F238E27FC236}">
              <a16:creationId xmlns:a16="http://schemas.microsoft.com/office/drawing/2014/main" id="{4BE68813-52DF-43CC-A496-014CC3266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333374</xdr:colOff>
      <xdr:row>7</xdr:row>
      <xdr:rowOff>152400</xdr:rowOff>
    </xdr:from>
    <xdr:to>
      <xdr:col>19</xdr:col>
      <xdr:colOff>380999</xdr:colOff>
      <xdr:row>23</xdr:row>
      <xdr:rowOff>57150</xdr:rowOff>
    </xdr:to>
    <xdr:graphicFrame macro="">
      <xdr:nvGraphicFramePr>
        <xdr:cNvPr id="10" name="Chart 9">
          <a:extLst>
            <a:ext uri="{FF2B5EF4-FFF2-40B4-BE49-F238E27FC236}">
              <a16:creationId xmlns:a16="http://schemas.microsoft.com/office/drawing/2014/main" id="{7339D121-E502-4FD2-BD6B-CDFC4DEB5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19049</xdr:colOff>
      <xdr:row>23</xdr:row>
      <xdr:rowOff>142875</xdr:rowOff>
    </xdr:from>
    <xdr:to>
      <xdr:col>19</xdr:col>
      <xdr:colOff>390525</xdr:colOff>
      <xdr:row>38</xdr:row>
      <xdr:rowOff>28575</xdr:rowOff>
    </xdr:to>
    <xdr:graphicFrame macro="">
      <xdr:nvGraphicFramePr>
        <xdr:cNvPr id="11" name="Chart 10">
          <a:extLst>
            <a:ext uri="{FF2B5EF4-FFF2-40B4-BE49-F238E27FC236}">
              <a16:creationId xmlns:a16="http://schemas.microsoft.com/office/drawing/2014/main" id="{0FD762EF-CAD5-45FE-9BB4-0DC1FC226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600075</xdr:colOff>
      <xdr:row>7</xdr:row>
      <xdr:rowOff>152400</xdr:rowOff>
    </xdr:from>
    <xdr:to>
      <xdr:col>22</xdr:col>
      <xdr:colOff>600075</xdr:colOff>
      <xdr:row>23</xdr:row>
      <xdr:rowOff>28575</xdr:rowOff>
    </xdr:to>
    <mc:AlternateContent xmlns:mc="http://schemas.openxmlformats.org/markup-compatibility/2006">
      <mc:Choice xmlns:a14="http://schemas.microsoft.com/office/drawing/2010/main" Requires="a14">
        <xdr:graphicFrame macro="">
          <xdr:nvGraphicFramePr>
            <xdr:cNvPr id="12" name="City 1">
              <a:extLst>
                <a:ext uri="{FF2B5EF4-FFF2-40B4-BE49-F238E27FC236}">
                  <a16:creationId xmlns:a16="http://schemas.microsoft.com/office/drawing/2014/main" id="{4AEF50D5-6FD8-4760-92B3-4D954E57CE3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4982825" y="1866900"/>
              <a:ext cx="1828800" cy="2924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24</xdr:row>
      <xdr:rowOff>1</xdr:rowOff>
    </xdr:from>
    <xdr:to>
      <xdr:col>23</xdr:col>
      <xdr:colOff>0</xdr:colOff>
      <xdr:row>38</xdr:row>
      <xdr:rowOff>19051</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6253A759-D93E-4550-BAF5-1D7621D030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992350" y="4953001"/>
              <a:ext cx="1828800" cy="268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4.906653240738" createdVersion="7" refreshedVersion="7" minRefreshableVersion="3" recordCount="12" xr:uid="{F6AC8E50-96B7-4616-BDFA-9840A7BE1146}">
  <cacheSource type="worksheet">
    <worksheetSource name="SalesTable"/>
  </cacheSource>
  <cacheFields count="15">
    <cacheField name="OrderID" numFmtId="0">
      <sharedItems containsSemiMixedTypes="0" containsString="0" containsNumber="1" containsInteger="1" minValue="2001" maxValue="2012"/>
    </cacheField>
    <cacheField name="OrderDate" numFmtId="0">
      <sharedItems containsDate="1" containsMixedTypes="1" minDate="2025-03-06T00:00:00" maxDate="2025-03-07T00:00:00"/>
    </cacheField>
    <cacheField name="CustomerName" numFmtId="0">
      <sharedItems/>
    </cacheField>
    <cacheField name="City" numFmtId="0">
      <sharedItems count="4">
        <s v="Amman"/>
        <s v="Zarqa"/>
        <s v="Irbid"/>
        <s v="Aqaba"/>
      </sharedItems>
    </cacheField>
    <cacheField name="ProductID" numFmtId="0">
      <sharedItems/>
    </cacheField>
    <cacheField name="ProductName" numFmtId="0">
      <sharedItems/>
    </cacheField>
    <cacheField name="Category" numFmtId="0">
      <sharedItems count="4">
        <s v="Electronics"/>
        <s v="Stationery"/>
        <s v="Accessories"/>
        <s v="Furniture"/>
      </sharedItems>
    </cacheField>
    <cacheField name="SalesAmount" numFmtId="0">
      <sharedItems containsSemiMixedTypes="0" containsString="0" containsNumber="1" containsInteger="1" minValue="6" maxValue="150"/>
    </cacheField>
    <cacheField name="Quantity" numFmtId="0">
      <sharedItems containsSemiMixedTypes="0" containsString="0" containsNumber="1" containsInteger="1" minValue="1" maxValue="3"/>
    </cacheField>
    <cacheField name="Cost" numFmtId="0">
      <sharedItems containsSemiMixedTypes="0" containsString="0" containsNumber="1" containsInteger="1" minValue="2" maxValue="110"/>
    </cacheField>
    <cacheField name="PaymentMethod" numFmtId="0">
      <sharedItems/>
    </cacheField>
    <cacheField name="Salesperson" numFmtId="0">
      <sharedItems count="2">
        <s v="Lina"/>
        <s v="Omar"/>
      </sharedItems>
    </cacheField>
    <cacheField name="Profit" numFmtId="0">
      <sharedItems containsSemiMixedTypes="0" containsString="0" containsNumber="1" containsInteger="1" minValue="4" maxValue="40"/>
    </cacheField>
    <cacheField name="SalesCategory" numFmtId="0">
      <sharedItems/>
    </cacheField>
    <cacheField name="Month" numFmtId="0">
      <sharedItems count="1">
        <s v="Mar 2025"/>
      </sharedItems>
    </cacheField>
  </cacheFields>
  <extLst>
    <ext xmlns:x14="http://schemas.microsoft.com/office/spreadsheetml/2009/9/main" uri="{725AE2AE-9491-48be-B2B4-4EB974FC3084}">
      <x14:pivotCacheDefinition pivotCacheId="1204886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2001"/>
    <s v="2025-03-01"/>
    <s v="Ahmad"/>
    <x v="0"/>
    <s v="P001"/>
    <s v="Mouse"/>
    <x v="0"/>
    <n v="24"/>
    <n v="2"/>
    <n v="16"/>
    <s v="Cash"/>
    <x v="0"/>
    <n v="8"/>
    <s v="Low"/>
    <x v="0"/>
  </r>
  <r>
    <n v="2002"/>
    <s v="2025-03-02"/>
    <s v="Sara"/>
    <x v="1"/>
    <s v="P002"/>
    <s v="Keyboard"/>
    <x v="0"/>
    <n v="20"/>
    <n v="1"/>
    <n v="12"/>
    <s v="Card"/>
    <x v="1"/>
    <n v="8"/>
    <s v="Low"/>
    <x v="0"/>
  </r>
  <r>
    <n v="2003"/>
    <s v="2025-03-03"/>
    <s v="Ali"/>
    <x v="2"/>
    <s v="P003"/>
    <s v="Notebook"/>
    <x v="1"/>
    <n v="9"/>
    <n v="3"/>
    <n v="3"/>
    <s v="Cash"/>
    <x v="0"/>
    <n v="6"/>
    <s v="Low"/>
    <x v="0"/>
  </r>
  <r>
    <n v="2004"/>
    <s v="2025-03-05"/>
    <s v="Rana"/>
    <x v="0"/>
    <s v="P004"/>
    <s v="Pen Set"/>
    <x v="1"/>
    <n v="10"/>
    <n v="2"/>
    <n v="4"/>
    <s v="Card"/>
    <x v="1"/>
    <n v="6"/>
    <s v="Low"/>
    <x v="0"/>
  </r>
  <r>
    <n v="2005"/>
    <d v="2025-03-06T00:00:00"/>
    <s v="Khaled"/>
    <x v="3"/>
    <s v="P005"/>
    <s v="Water Bottle"/>
    <x v="2"/>
    <n v="20"/>
    <n v="2"/>
    <n v="8"/>
    <s v="Cash"/>
    <x v="0"/>
    <n v="12"/>
    <s v="Low"/>
    <x v="0"/>
  </r>
  <r>
    <n v="2006"/>
    <s v="2025-03-08"/>
    <s v="Maha"/>
    <x v="0"/>
    <s v="P006"/>
    <s v="Backpack"/>
    <x v="2"/>
    <n v="50"/>
    <n v="2"/>
    <n v="30"/>
    <s v="Card"/>
    <x v="1"/>
    <n v="20"/>
    <s v="Low"/>
    <x v="0"/>
  </r>
  <r>
    <n v="2007"/>
    <s v="2025-03-10"/>
    <s v="Yousef"/>
    <x v="1"/>
    <s v="P007"/>
    <s v="Headphones"/>
    <x v="0"/>
    <n v="60"/>
    <n v="2"/>
    <n v="40"/>
    <s v="Cash"/>
    <x v="0"/>
    <n v="20"/>
    <s v="High"/>
    <x v="0"/>
  </r>
  <r>
    <n v="2008"/>
    <s v="2025-03-12"/>
    <s v="Nour"/>
    <x v="2"/>
    <s v="P008"/>
    <s v="Desk Lamp"/>
    <x v="3"/>
    <n v="18"/>
    <n v="1"/>
    <n v="10"/>
    <s v="Card"/>
    <x v="1"/>
    <n v="8"/>
    <s v="Low"/>
    <x v="0"/>
  </r>
  <r>
    <n v="2009"/>
    <s v="2025-03-15"/>
    <s v="Huda"/>
    <x v="0"/>
    <s v="P009"/>
    <s v="Office Chair"/>
    <x v="3"/>
    <n v="90"/>
    <n v="1"/>
    <n v="60"/>
    <s v="Cash"/>
    <x v="0"/>
    <n v="30"/>
    <s v="High"/>
    <x v="0"/>
  </r>
  <r>
    <n v="2010"/>
    <s v="2025-03-18"/>
    <s v="Omar"/>
    <x v="3"/>
    <s v="P010"/>
    <s v="Monitor"/>
    <x v="0"/>
    <n v="150"/>
    <n v="1"/>
    <n v="110"/>
    <s v="Card"/>
    <x v="1"/>
    <n v="40"/>
    <s v="High"/>
    <x v="0"/>
  </r>
  <r>
    <n v="2011"/>
    <s v="2025-03-20"/>
    <s v="Ahmad"/>
    <x v="0"/>
    <s v="P002"/>
    <s v="Keyboard"/>
    <x v="0"/>
    <n v="40"/>
    <n v="2"/>
    <n v="24"/>
    <s v="Cash"/>
    <x v="0"/>
    <n v="16"/>
    <s v="Low"/>
    <x v="0"/>
  </r>
  <r>
    <n v="2012"/>
    <s v="2025-03-22"/>
    <s v="Sara"/>
    <x v="1"/>
    <s v="P003"/>
    <s v="Notebook"/>
    <x v="1"/>
    <n v="6"/>
    <n v="2"/>
    <n v="2"/>
    <s v="Card"/>
    <x v="1"/>
    <n v="4"/>
    <s v="Low"/>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2EC69B-82E9-4428-812A-8816D9AABBE9}" name="PivotTable6"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8" firstHeaderRow="1" firstDataRow="1" firstDataCol="1"/>
  <pivotFields count="15">
    <pivotField showAll="0"/>
    <pivotField showAll="0"/>
    <pivotField showAll="0"/>
    <pivotField showAll="0">
      <items count="5">
        <item x="0"/>
        <item x="3"/>
        <item x="2"/>
        <item x="1"/>
        <item t="default"/>
      </items>
    </pivotField>
    <pivotField showAll="0"/>
    <pivotField showAll="0"/>
    <pivotField axis="axisRow" showAll="0" sortType="ascending">
      <items count="5">
        <item x="2"/>
        <item x="0"/>
        <item x="3"/>
        <item x="1"/>
        <item t="default"/>
      </items>
    </pivotField>
    <pivotField dataField="1"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SalesAmount" fld="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6030F-4536-483D-A06C-29E7B51CF62F}" name="PivotTable7"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5">
    <pivotField showAll="0"/>
    <pivotField showAll="0"/>
    <pivotField showAll="0"/>
    <pivotField axis="axisRow" showAll="0" sortType="ascending">
      <items count="5">
        <item x="0"/>
        <item x="3"/>
        <item x="2"/>
        <item x="1"/>
        <item t="default"/>
      </items>
    </pivotField>
    <pivotField showAll="0"/>
    <pivotField showAll="0"/>
    <pivotField showAll="0">
      <items count="5">
        <item x="2"/>
        <item x="0"/>
        <item x="3"/>
        <item x="1"/>
        <item t="default"/>
      </items>
    </pivotField>
    <pivotField dataField="1"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Am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6AADB8-BB58-4A4D-88AC-39244A6CD646}" name="PivotTable8"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15">
    <pivotField showAll="0"/>
    <pivotField showAll="0"/>
    <pivotField showAll="0"/>
    <pivotField showAll="0">
      <items count="5">
        <item x="0"/>
        <item x="3"/>
        <item x="2"/>
        <item x="1"/>
        <item t="default"/>
      </items>
    </pivotField>
    <pivotField showAll="0"/>
    <pivotField showAll="0"/>
    <pivotField showAll="0">
      <items count="5">
        <item x="2"/>
        <item x="0"/>
        <item x="3"/>
        <item x="1"/>
        <item t="default"/>
      </items>
    </pivotField>
    <pivotField dataField="1" showAll="0"/>
    <pivotField showAll="0"/>
    <pivotField showAll="0"/>
    <pivotField showAll="0"/>
    <pivotField axis="axisRow" showAll="0">
      <items count="3">
        <item x="0"/>
        <item x="1"/>
        <item t="default"/>
      </items>
    </pivotField>
    <pivotField showAll="0"/>
    <pivotField showAll="0"/>
    <pivotField showAll="0"/>
  </pivotFields>
  <rowFields count="1">
    <field x="11"/>
  </rowFields>
  <rowItems count="3">
    <i>
      <x/>
    </i>
    <i>
      <x v="1"/>
    </i>
    <i t="grand">
      <x/>
    </i>
  </rowItems>
  <colItems count="1">
    <i/>
  </colItems>
  <dataFields count="1">
    <dataField name="Sum of Sales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0C2D1-18C8-43B2-B79B-05233F7A6B03}" name="PivotTable9"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15">
    <pivotField showAll="0"/>
    <pivotField showAll="0"/>
    <pivotField showAll="0"/>
    <pivotField showAll="0">
      <items count="5">
        <item x="0"/>
        <item x="3"/>
        <item x="2"/>
        <item x="1"/>
        <item t="default"/>
      </items>
    </pivotField>
    <pivotField showAll="0"/>
    <pivotField showAll="0"/>
    <pivotField showAll="0">
      <items count="5">
        <item x="2"/>
        <item x="0"/>
        <item x="3"/>
        <item x="1"/>
        <item t="default"/>
      </items>
    </pivotField>
    <pivotField dataField="1" showAll="0"/>
    <pivotField showAll="0"/>
    <pivotField showAll="0"/>
    <pivotField showAll="0"/>
    <pivotField showAll="0"/>
    <pivotField showAll="0"/>
    <pivotField showAll="0"/>
    <pivotField axis="axisRow" showAll="0">
      <items count="2">
        <item x="0"/>
        <item t="default"/>
      </items>
    </pivotField>
  </pivotFields>
  <rowFields count="1">
    <field x="14"/>
  </rowFields>
  <rowItems count="2">
    <i>
      <x/>
    </i>
    <i t="grand">
      <x/>
    </i>
  </rowItems>
  <colItems count="1">
    <i/>
  </colItems>
  <dataFields count="1">
    <dataField name="Sum of SalesAm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03264F4-6075-4D3B-9296-1A25D38EF1B8}" sourceName="City">
  <pivotTables>
    <pivotTable tabId="9" name="PivotTable6"/>
    <pivotTable tabId="11" name="PivotTable7"/>
    <pivotTable tabId="12" name="PivotTable8"/>
    <pivotTable tabId="14" name="PivotTable9"/>
  </pivotTables>
  <data>
    <tabular pivotCacheId="1204886232">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3E614C-9901-4053-843D-82BA76EF983D}" sourceName="Category">
  <pivotTables>
    <pivotTable tabId="9" name="PivotTable6"/>
    <pivotTable tabId="11" name="PivotTable7"/>
    <pivotTable tabId="12" name="PivotTable8"/>
    <pivotTable tabId="14" name="PivotTable9"/>
  </pivotTables>
  <data>
    <tabular pivotCacheId="1204886232">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750E08D-3C4F-47E6-9850-46730C51D25C}" cache="Slicer_City" caption="City" style="SlicerStyleLight2" rowHeight="241300"/>
  <slicer name="Category 1" xr10:uid="{D9B283B7-820C-44F0-9392-6CC89FE72E58}" cache="Slicer_Category" caption="Category"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0E31E2-DE3B-45A4-844A-B0FF8B914856}" name="SalesTable" displayName="SalesTable" ref="A1:O13" totalsRowShown="0">
  <autoFilter ref="A1:O13" xr:uid="{310E31E2-DE3B-45A4-844A-B0FF8B914856}"/>
  <tableColumns count="15">
    <tableColumn id="1" xr3:uid="{7DC66B50-7B4E-4799-9D2F-7ACC86AABB04}" name="OrderID"/>
    <tableColumn id="2" xr3:uid="{2A231E6C-A2F6-433B-9223-F09C28B60ED9}" name="OrderDate"/>
    <tableColumn id="3" xr3:uid="{8612EE31-DF22-451F-A03A-786FBEB2BB75}" name="CustomerName"/>
    <tableColumn id="4" xr3:uid="{B84CF5A2-15A7-4DF1-A6A9-E8904A172483}" name="City"/>
    <tableColumn id="5" xr3:uid="{AE1D93F2-72A1-42E8-AEB8-6BBA7236DCAD}" name="ProductID"/>
    <tableColumn id="6" xr3:uid="{91D2076E-6A3A-429A-8746-738241FAEB86}" name="ProductName"/>
    <tableColumn id="7" xr3:uid="{902BBAF2-D336-4C83-A361-FC5F1364C050}" name="Category"/>
    <tableColumn id="8" xr3:uid="{87F7888B-0765-41D4-8097-2BC971D0B603}" name="SalesAmount"/>
    <tableColumn id="9" xr3:uid="{1033B8B9-6AD6-4858-9D59-1770BBE67FC2}" name="Quantity"/>
    <tableColumn id="10" xr3:uid="{C18E18E6-D372-4EA0-8005-C94533C46B77}" name="Cost"/>
    <tableColumn id="11" xr3:uid="{1A33A3F0-3D18-495A-93E5-3229AD6F3737}" name="PaymentMethod"/>
    <tableColumn id="12" xr3:uid="{65B155B5-AC69-4ABE-A376-C0C0D8C275B3}" name="Salesperson"/>
    <tableColumn id="13" xr3:uid="{311D1D8B-0F72-47A9-807F-A38D7D9BA7DC}" name="Profit">
      <calculatedColumnFormula>H2-J2</calculatedColumnFormula>
    </tableColumn>
    <tableColumn id="14" xr3:uid="{CD33FAC6-3DFA-422D-BEC6-5897DB455422}" name="SalesCategory">
      <calculatedColumnFormula>IF(H2&gt;50,"High","Low")</calculatedColumnFormula>
    </tableColumn>
    <tableColumn id="15" xr3:uid="{BC1FA0A4-848C-4492-85D0-312AE42A5507}" name="Month" dataDxfId="1">
      <calculatedColumnFormula>TEXT(B2,"mmm yyyy")</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9E6ACB-DC40-419E-A051-DCB6BC38F752}" name="Table3" displayName="Table3" ref="A1:B6" totalsRowShown="0">
  <autoFilter ref="A1:B6" xr:uid="{889E6ACB-DC40-419E-A051-DCB6BC38F752}"/>
  <tableColumns count="2">
    <tableColumn id="1" xr3:uid="{4A6CA8D4-7C4C-49F7-8D2A-C7025DC52D3D}" name="KPI"/>
    <tableColumn id="2" xr3:uid="{CF0A1E58-2070-4451-AB1F-02E4601932A1}" name="Value" dataDxfId="0">
      <calculatedColumnFormula>SUM('Raw Data'!H:H)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tabSelected="1" workbookViewId="0">
      <selection activeCell="E33" sqref="E33"/>
    </sheetView>
  </sheetViews>
  <sheetFormatPr defaultColWidth="8.85546875" defaultRowHeight="15" x14ac:dyDescent="0.25"/>
  <cols>
    <col min="1" max="1" width="10.140625" customWidth="1"/>
    <col min="2" max="2" width="12.42578125" customWidth="1"/>
    <col min="3" max="3" width="17" customWidth="1"/>
    <col min="5" max="5" width="11.85546875" customWidth="1"/>
    <col min="6" max="6" width="15.28515625" customWidth="1"/>
    <col min="7" max="7" width="11" customWidth="1"/>
    <col min="8" max="8" width="14.85546875" customWidth="1"/>
    <col min="9" max="9" width="10.85546875" customWidth="1"/>
    <col min="11" max="11" width="18.140625" customWidth="1"/>
    <col min="12" max="12" width="13.85546875" customWidth="1"/>
    <col min="14" max="14" width="15.5703125" customWidth="1"/>
    <col min="15" max="15" width="15.855468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76</v>
      </c>
    </row>
    <row r="2" spans="1:15" x14ac:dyDescent="0.25">
      <c r="A2">
        <v>2001</v>
      </c>
      <c r="B2" t="s">
        <v>14</v>
      </c>
      <c r="C2" t="s">
        <v>15</v>
      </c>
      <c r="D2" t="s">
        <v>16</v>
      </c>
      <c r="E2" t="s">
        <v>17</v>
      </c>
      <c r="F2" t="s">
        <v>18</v>
      </c>
      <c r="G2" t="s">
        <v>19</v>
      </c>
      <c r="H2">
        <v>24</v>
      </c>
      <c r="I2">
        <v>2</v>
      </c>
      <c r="J2">
        <v>16</v>
      </c>
      <c r="K2" t="s">
        <v>20</v>
      </c>
      <c r="L2" t="s">
        <v>21</v>
      </c>
      <c r="M2">
        <f>H2-J2</f>
        <v>8</v>
      </c>
      <c r="N2" t="str">
        <f t="shared" ref="N2:N13" si="0">IF(H2&gt;50,"High","Low")</f>
        <v>Low</v>
      </c>
      <c r="O2" t="str">
        <f t="shared" ref="O2:O13" si="1">TEXT(B2,"mmm yyyy")</f>
        <v>Mar 2025</v>
      </c>
    </row>
    <row r="3" spans="1:15" x14ac:dyDescent="0.25">
      <c r="A3">
        <v>2002</v>
      </c>
      <c r="B3" t="s">
        <v>22</v>
      </c>
      <c r="C3" t="s">
        <v>23</v>
      </c>
      <c r="D3" t="s">
        <v>24</v>
      </c>
      <c r="E3" t="s">
        <v>25</v>
      </c>
      <c r="F3" t="s">
        <v>26</v>
      </c>
      <c r="G3" t="s">
        <v>19</v>
      </c>
      <c r="H3">
        <v>20</v>
      </c>
      <c r="I3">
        <v>1</v>
      </c>
      <c r="J3">
        <v>12</v>
      </c>
      <c r="K3" t="s">
        <v>27</v>
      </c>
      <c r="L3" t="s">
        <v>28</v>
      </c>
      <c r="M3">
        <f t="shared" ref="M3:M13" si="2">H3-J3</f>
        <v>8</v>
      </c>
      <c r="N3" t="str">
        <f t="shared" si="0"/>
        <v>Low</v>
      </c>
      <c r="O3" t="str">
        <f t="shared" si="1"/>
        <v>Mar 2025</v>
      </c>
    </row>
    <row r="4" spans="1:15" x14ac:dyDescent="0.25">
      <c r="A4">
        <v>2003</v>
      </c>
      <c r="B4" t="s">
        <v>29</v>
      </c>
      <c r="C4" t="s">
        <v>30</v>
      </c>
      <c r="D4" t="s">
        <v>31</v>
      </c>
      <c r="E4" t="s">
        <v>32</v>
      </c>
      <c r="F4" t="s">
        <v>33</v>
      </c>
      <c r="G4" t="s">
        <v>34</v>
      </c>
      <c r="H4">
        <v>9</v>
      </c>
      <c r="I4">
        <v>3</v>
      </c>
      <c r="J4">
        <v>3</v>
      </c>
      <c r="K4" t="s">
        <v>20</v>
      </c>
      <c r="L4" t="s">
        <v>21</v>
      </c>
      <c r="M4">
        <f t="shared" si="2"/>
        <v>6</v>
      </c>
      <c r="N4" t="str">
        <f t="shared" si="0"/>
        <v>Low</v>
      </c>
      <c r="O4" t="str">
        <f t="shared" si="1"/>
        <v>Mar 2025</v>
      </c>
    </row>
    <row r="5" spans="1:15" x14ac:dyDescent="0.25">
      <c r="A5">
        <v>2004</v>
      </c>
      <c r="B5" t="s">
        <v>35</v>
      </c>
      <c r="C5" t="s">
        <v>36</v>
      </c>
      <c r="D5" t="s">
        <v>16</v>
      </c>
      <c r="E5" t="s">
        <v>37</v>
      </c>
      <c r="F5" t="s">
        <v>38</v>
      </c>
      <c r="G5" t="s">
        <v>34</v>
      </c>
      <c r="H5">
        <v>10</v>
      </c>
      <c r="I5">
        <v>2</v>
      </c>
      <c r="J5">
        <v>4</v>
      </c>
      <c r="K5" t="s">
        <v>27</v>
      </c>
      <c r="L5" t="s">
        <v>28</v>
      </c>
      <c r="M5">
        <f t="shared" si="2"/>
        <v>6</v>
      </c>
      <c r="N5" t="str">
        <f t="shared" si="0"/>
        <v>Low</v>
      </c>
      <c r="O5" t="str">
        <f t="shared" si="1"/>
        <v>Mar 2025</v>
      </c>
    </row>
    <row r="6" spans="1:15" x14ac:dyDescent="0.25">
      <c r="A6">
        <v>2005</v>
      </c>
      <c r="B6" s="4">
        <v>45722</v>
      </c>
      <c r="C6" t="s">
        <v>39</v>
      </c>
      <c r="D6" t="s">
        <v>40</v>
      </c>
      <c r="E6" t="s">
        <v>41</v>
      </c>
      <c r="F6" t="s">
        <v>42</v>
      </c>
      <c r="G6" t="s">
        <v>43</v>
      </c>
      <c r="H6">
        <v>20</v>
      </c>
      <c r="I6">
        <v>2</v>
      </c>
      <c r="J6">
        <v>8</v>
      </c>
      <c r="K6" t="s">
        <v>20</v>
      </c>
      <c r="L6" t="s">
        <v>21</v>
      </c>
      <c r="M6">
        <f t="shared" si="2"/>
        <v>12</v>
      </c>
      <c r="N6" t="str">
        <f t="shared" si="0"/>
        <v>Low</v>
      </c>
      <c r="O6" t="str">
        <f t="shared" si="1"/>
        <v>Mar 2025</v>
      </c>
    </row>
    <row r="7" spans="1:15" x14ac:dyDescent="0.25">
      <c r="A7">
        <v>2006</v>
      </c>
      <c r="B7" t="s">
        <v>44</v>
      </c>
      <c r="C7" t="s">
        <v>45</v>
      </c>
      <c r="D7" t="s">
        <v>16</v>
      </c>
      <c r="E7" t="s">
        <v>46</v>
      </c>
      <c r="F7" t="s">
        <v>47</v>
      </c>
      <c r="G7" t="s">
        <v>43</v>
      </c>
      <c r="H7">
        <v>50</v>
      </c>
      <c r="I7">
        <v>2</v>
      </c>
      <c r="J7">
        <v>30</v>
      </c>
      <c r="K7" t="s">
        <v>27</v>
      </c>
      <c r="L7" t="s">
        <v>28</v>
      </c>
      <c r="M7">
        <f t="shared" si="2"/>
        <v>20</v>
      </c>
      <c r="N7" t="str">
        <f t="shared" si="0"/>
        <v>Low</v>
      </c>
      <c r="O7" t="str">
        <f t="shared" si="1"/>
        <v>Mar 2025</v>
      </c>
    </row>
    <row r="8" spans="1:15" x14ac:dyDescent="0.25">
      <c r="A8">
        <v>2007</v>
      </c>
      <c r="B8" t="s">
        <v>48</v>
      </c>
      <c r="C8" t="s">
        <v>49</v>
      </c>
      <c r="D8" t="s">
        <v>24</v>
      </c>
      <c r="E8" t="s">
        <v>50</v>
      </c>
      <c r="F8" t="s">
        <v>51</v>
      </c>
      <c r="G8" t="s">
        <v>19</v>
      </c>
      <c r="H8">
        <v>60</v>
      </c>
      <c r="I8">
        <v>2</v>
      </c>
      <c r="J8">
        <v>40</v>
      </c>
      <c r="K8" t="s">
        <v>20</v>
      </c>
      <c r="L8" t="s">
        <v>21</v>
      </c>
      <c r="M8">
        <f t="shared" si="2"/>
        <v>20</v>
      </c>
      <c r="N8" t="str">
        <f t="shared" si="0"/>
        <v>High</v>
      </c>
      <c r="O8" t="str">
        <f t="shared" si="1"/>
        <v>Mar 2025</v>
      </c>
    </row>
    <row r="9" spans="1:15" x14ac:dyDescent="0.25">
      <c r="A9">
        <v>2008</v>
      </c>
      <c r="B9" t="s">
        <v>52</v>
      </c>
      <c r="C9" t="s">
        <v>53</v>
      </c>
      <c r="D9" t="s">
        <v>31</v>
      </c>
      <c r="E9" t="s">
        <v>54</v>
      </c>
      <c r="F9" t="s">
        <v>55</v>
      </c>
      <c r="G9" t="s">
        <v>56</v>
      </c>
      <c r="H9">
        <v>18</v>
      </c>
      <c r="I9">
        <v>1</v>
      </c>
      <c r="J9">
        <v>10</v>
      </c>
      <c r="K9" t="s">
        <v>27</v>
      </c>
      <c r="L9" t="s">
        <v>28</v>
      </c>
      <c r="M9">
        <f t="shared" si="2"/>
        <v>8</v>
      </c>
      <c r="N9" t="str">
        <f t="shared" si="0"/>
        <v>Low</v>
      </c>
      <c r="O9" t="str">
        <f t="shared" si="1"/>
        <v>Mar 2025</v>
      </c>
    </row>
    <row r="10" spans="1:15" x14ac:dyDescent="0.25">
      <c r="A10">
        <v>2009</v>
      </c>
      <c r="B10" t="s">
        <v>57</v>
      </c>
      <c r="C10" t="s">
        <v>58</v>
      </c>
      <c r="D10" t="s">
        <v>16</v>
      </c>
      <c r="E10" t="s">
        <v>59</v>
      </c>
      <c r="F10" t="s">
        <v>60</v>
      </c>
      <c r="G10" t="s">
        <v>56</v>
      </c>
      <c r="H10">
        <v>90</v>
      </c>
      <c r="I10">
        <v>1</v>
      </c>
      <c r="J10">
        <v>60</v>
      </c>
      <c r="K10" t="s">
        <v>20</v>
      </c>
      <c r="L10" t="s">
        <v>21</v>
      </c>
      <c r="M10">
        <f t="shared" si="2"/>
        <v>30</v>
      </c>
      <c r="N10" t="str">
        <f t="shared" si="0"/>
        <v>High</v>
      </c>
      <c r="O10" t="str">
        <f t="shared" si="1"/>
        <v>Mar 2025</v>
      </c>
    </row>
    <row r="11" spans="1:15" x14ac:dyDescent="0.25">
      <c r="A11">
        <v>2010</v>
      </c>
      <c r="B11" t="s">
        <v>61</v>
      </c>
      <c r="C11" t="s">
        <v>28</v>
      </c>
      <c r="D11" t="s">
        <v>40</v>
      </c>
      <c r="E11" t="s">
        <v>62</v>
      </c>
      <c r="F11" t="s">
        <v>63</v>
      </c>
      <c r="G11" t="s">
        <v>19</v>
      </c>
      <c r="H11">
        <v>150</v>
      </c>
      <c r="I11">
        <v>1</v>
      </c>
      <c r="J11">
        <v>110</v>
      </c>
      <c r="K11" t="s">
        <v>27</v>
      </c>
      <c r="L11" t="s">
        <v>28</v>
      </c>
      <c r="M11">
        <f t="shared" si="2"/>
        <v>40</v>
      </c>
      <c r="N11" t="str">
        <f t="shared" si="0"/>
        <v>High</v>
      </c>
      <c r="O11" t="str">
        <f t="shared" si="1"/>
        <v>Mar 2025</v>
      </c>
    </row>
    <row r="12" spans="1:15" x14ac:dyDescent="0.25">
      <c r="A12">
        <v>2011</v>
      </c>
      <c r="B12" t="s">
        <v>64</v>
      </c>
      <c r="C12" t="s">
        <v>15</v>
      </c>
      <c r="D12" t="s">
        <v>16</v>
      </c>
      <c r="E12" t="s">
        <v>25</v>
      </c>
      <c r="F12" t="s">
        <v>26</v>
      </c>
      <c r="G12" t="s">
        <v>19</v>
      </c>
      <c r="H12">
        <v>40</v>
      </c>
      <c r="I12">
        <v>2</v>
      </c>
      <c r="J12">
        <v>24</v>
      </c>
      <c r="K12" t="s">
        <v>20</v>
      </c>
      <c r="L12" t="s">
        <v>21</v>
      </c>
      <c r="M12">
        <f t="shared" si="2"/>
        <v>16</v>
      </c>
      <c r="N12" t="str">
        <f t="shared" si="0"/>
        <v>Low</v>
      </c>
      <c r="O12" t="str">
        <f t="shared" si="1"/>
        <v>Mar 2025</v>
      </c>
    </row>
    <row r="13" spans="1:15" x14ac:dyDescent="0.25">
      <c r="A13">
        <v>2012</v>
      </c>
      <c r="B13" t="s">
        <v>65</v>
      </c>
      <c r="C13" t="s">
        <v>23</v>
      </c>
      <c r="D13" t="s">
        <v>24</v>
      </c>
      <c r="E13" t="s">
        <v>32</v>
      </c>
      <c r="F13" t="s">
        <v>33</v>
      </c>
      <c r="G13" t="s">
        <v>34</v>
      </c>
      <c r="H13">
        <v>6</v>
      </c>
      <c r="I13">
        <v>2</v>
      </c>
      <c r="J13">
        <v>2</v>
      </c>
      <c r="K13" t="s">
        <v>27</v>
      </c>
      <c r="L13" t="s">
        <v>28</v>
      </c>
      <c r="M13">
        <f t="shared" si="2"/>
        <v>4</v>
      </c>
      <c r="N13" t="str">
        <f t="shared" si="0"/>
        <v>Low</v>
      </c>
      <c r="O13" t="str">
        <f t="shared" si="1"/>
        <v>Mar 2025</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6DD8-DB8F-4961-8E97-76DD5F996C38}">
  <dimension ref="A3:B8"/>
  <sheetViews>
    <sheetView workbookViewId="0">
      <selection activeCell="B3" sqref="B3"/>
    </sheetView>
  </sheetViews>
  <sheetFormatPr defaultRowHeight="15" x14ac:dyDescent="0.25"/>
  <cols>
    <col min="1" max="1" width="13.140625" bestFit="1" customWidth="1"/>
    <col min="2" max="2" width="19.5703125" bestFit="1" customWidth="1"/>
  </cols>
  <sheetData>
    <row r="3" spans="1:2" x14ac:dyDescent="0.25">
      <c r="A3" s="1" t="s">
        <v>73</v>
      </c>
      <c r="B3" t="s">
        <v>75</v>
      </c>
    </row>
    <row r="4" spans="1:2" x14ac:dyDescent="0.25">
      <c r="A4" s="2" t="s">
        <v>43</v>
      </c>
      <c r="B4" s="3">
        <v>70</v>
      </c>
    </row>
    <row r="5" spans="1:2" x14ac:dyDescent="0.25">
      <c r="A5" s="2" t="s">
        <v>19</v>
      </c>
      <c r="B5" s="3">
        <v>294</v>
      </c>
    </row>
    <row r="6" spans="1:2" x14ac:dyDescent="0.25">
      <c r="A6" s="2" t="s">
        <v>56</v>
      </c>
      <c r="B6" s="3">
        <v>108</v>
      </c>
    </row>
    <row r="7" spans="1:2" x14ac:dyDescent="0.25">
      <c r="A7" s="2" t="s">
        <v>34</v>
      </c>
      <c r="B7" s="3">
        <v>25</v>
      </c>
    </row>
    <row r="8" spans="1:2" x14ac:dyDescent="0.25">
      <c r="A8" s="2" t="s">
        <v>74</v>
      </c>
      <c r="B8" s="3">
        <v>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BA039-FBA7-4F46-9B2D-B733FDB72829}">
  <dimension ref="A3:B8"/>
  <sheetViews>
    <sheetView workbookViewId="0">
      <selection activeCell="A3" sqref="A3"/>
    </sheetView>
  </sheetViews>
  <sheetFormatPr defaultRowHeight="15" x14ac:dyDescent="0.25"/>
  <cols>
    <col min="1" max="1" width="13.140625" bestFit="1" customWidth="1"/>
    <col min="2" max="2" width="19.5703125" bestFit="1" customWidth="1"/>
  </cols>
  <sheetData>
    <row r="3" spans="1:2" x14ac:dyDescent="0.25">
      <c r="A3" s="1" t="s">
        <v>73</v>
      </c>
      <c r="B3" t="s">
        <v>75</v>
      </c>
    </row>
    <row r="4" spans="1:2" x14ac:dyDescent="0.25">
      <c r="A4" s="2" t="s">
        <v>16</v>
      </c>
      <c r="B4" s="3">
        <v>214</v>
      </c>
    </row>
    <row r="5" spans="1:2" x14ac:dyDescent="0.25">
      <c r="A5" s="2" t="s">
        <v>40</v>
      </c>
      <c r="B5" s="3">
        <v>170</v>
      </c>
    </row>
    <row r="6" spans="1:2" x14ac:dyDescent="0.25">
      <c r="A6" s="2" t="s">
        <v>31</v>
      </c>
      <c r="B6" s="3">
        <v>27</v>
      </c>
    </row>
    <row r="7" spans="1:2" x14ac:dyDescent="0.25">
      <c r="A7" s="2" t="s">
        <v>24</v>
      </c>
      <c r="B7" s="3">
        <v>86</v>
      </c>
    </row>
    <row r="8" spans="1:2" x14ac:dyDescent="0.25">
      <c r="A8" s="2" t="s">
        <v>74</v>
      </c>
      <c r="B8" s="3">
        <v>497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9DB13-7AC2-4F54-9F34-2BB0D343FE59}">
  <dimension ref="A3:B6"/>
  <sheetViews>
    <sheetView workbookViewId="0">
      <selection activeCell="A3" sqref="A3"/>
    </sheetView>
  </sheetViews>
  <sheetFormatPr defaultRowHeight="15" x14ac:dyDescent="0.25"/>
  <cols>
    <col min="1" max="1" width="13.140625" bestFit="1" customWidth="1"/>
    <col min="2" max="2" width="19.5703125" bestFit="1" customWidth="1"/>
  </cols>
  <sheetData>
    <row r="3" spans="1:2" x14ac:dyDescent="0.25">
      <c r="A3" s="1" t="s">
        <v>73</v>
      </c>
      <c r="B3" t="s">
        <v>75</v>
      </c>
    </row>
    <row r="4" spans="1:2" x14ac:dyDescent="0.25">
      <c r="A4" s="2" t="s">
        <v>21</v>
      </c>
      <c r="B4" s="3">
        <v>243</v>
      </c>
    </row>
    <row r="5" spans="1:2" x14ac:dyDescent="0.25">
      <c r="A5" s="2" t="s">
        <v>28</v>
      </c>
      <c r="B5" s="3">
        <v>254</v>
      </c>
    </row>
    <row r="6" spans="1:2" x14ac:dyDescent="0.25">
      <c r="A6" s="2" t="s">
        <v>74</v>
      </c>
      <c r="B6" s="3">
        <v>497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0EC3B-DF71-4DBF-B745-9B63C610600F}">
  <dimension ref="A3:B5"/>
  <sheetViews>
    <sheetView workbookViewId="0">
      <selection activeCell="B3" sqref="B3"/>
    </sheetView>
  </sheetViews>
  <sheetFormatPr defaultRowHeight="15" x14ac:dyDescent="0.25"/>
  <cols>
    <col min="1" max="1" width="13.140625" bestFit="1" customWidth="1"/>
    <col min="2" max="2" width="19.5703125" bestFit="1" customWidth="1"/>
  </cols>
  <sheetData>
    <row r="3" spans="1:2" x14ac:dyDescent="0.25">
      <c r="A3" s="1" t="s">
        <v>73</v>
      </c>
      <c r="B3" t="s">
        <v>75</v>
      </c>
    </row>
    <row r="4" spans="1:2" x14ac:dyDescent="0.25">
      <c r="A4" s="2" t="s">
        <v>77</v>
      </c>
      <c r="B4" s="3">
        <v>497</v>
      </c>
    </row>
    <row r="5" spans="1:2" x14ac:dyDescent="0.25">
      <c r="A5" s="2" t="s">
        <v>74</v>
      </c>
      <c r="B5" s="3">
        <v>497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D7B6-F313-452E-920D-5C7B493A316A}">
  <dimension ref="A1:B6"/>
  <sheetViews>
    <sheetView workbookViewId="0">
      <selection activeCell="X5" sqref="X5"/>
    </sheetView>
  </sheetViews>
  <sheetFormatPr defaultRowHeight="15" x14ac:dyDescent="0.25"/>
  <cols>
    <col min="1" max="1" width="30.85546875" customWidth="1"/>
    <col min="2" max="2" width="29.42578125" customWidth="1"/>
  </cols>
  <sheetData>
    <row r="1" spans="1:2" x14ac:dyDescent="0.25">
      <c r="A1" t="s">
        <v>66</v>
      </c>
      <c r="B1" t="s">
        <v>67</v>
      </c>
    </row>
    <row r="2" spans="1:2" ht="21" x14ac:dyDescent="0.35">
      <c r="A2" s="5" t="s">
        <v>68</v>
      </c>
      <c r="B2" s="10">
        <f>SUM('Raw Data'!H:H)</f>
        <v>497</v>
      </c>
    </row>
    <row r="3" spans="1:2" ht="21" x14ac:dyDescent="0.35">
      <c r="A3" s="6" t="s">
        <v>69</v>
      </c>
      <c r="B3" s="11">
        <f>SUM('Raw Data'!M:M)</f>
        <v>178</v>
      </c>
    </row>
    <row r="4" spans="1:2" ht="21" x14ac:dyDescent="0.35">
      <c r="A4" s="7" t="s">
        <v>70</v>
      </c>
      <c r="B4" s="12">
        <f>AVERAGE('Raw Data'!H:H)</f>
        <v>41.416666666666664</v>
      </c>
    </row>
    <row r="5" spans="1:2" ht="21" x14ac:dyDescent="0.35">
      <c r="A5" s="8" t="s">
        <v>71</v>
      </c>
      <c r="B5" s="13">
        <f>MAX('Raw Data'!H:H)</f>
        <v>150</v>
      </c>
    </row>
    <row r="6" spans="1:2" ht="21" x14ac:dyDescent="0.35">
      <c r="A6" s="9" t="s">
        <v>72</v>
      </c>
      <c r="B6" s="14">
        <f>MIN('Raw Data'!H:H)</f>
        <v>6</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F8" sqref="F8"/>
    </sheetView>
  </sheetViews>
  <sheetFormatPr defaultColWidth="8.85546875" defaultRowHeight="15" x14ac:dyDescent="0.25"/>
  <cols>
    <col min="1" max="1" width="31" customWidth="1"/>
    <col min="2" max="2" width="37.7109375" customWidth="1"/>
  </cols>
  <sheetData>
    <row r="1" spans="1:2" x14ac:dyDescent="0.25">
      <c r="A1" s="15" t="s">
        <v>78</v>
      </c>
      <c r="B1" s="20" t="s">
        <v>83</v>
      </c>
    </row>
    <row r="2" spans="1:2" x14ac:dyDescent="0.25">
      <c r="A2" s="16" t="s">
        <v>79</v>
      </c>
      <c r="B2" s="21" t="s">
        <v>84</v>
      </c>
    </row>
    <row r="3" spans="1:2" x14ac:dyDescent="0.25">
      <c r="A3" s="17" t="s">
        <v>80</v>
      </c>
      <c r="B3" s="22" t="s">
        <v>85</v>
      </c>
    </row>
    <row r="4" spans="1:2" x14ac:dyDescent="0.25">
      <c r="A4" s="18" t="s">
        <v>81</v>
      </c>
      <c r="B4" s="23" t="s">
        <v>86</v>
      </c>
    </row>
    <row r="5" spans="1:2" x14ac:dyDescent="0.25">
      <c r="A5" s="19" t="s">
        <v>82</v>
      </c>
      <c r="B5" s="24" t="s">
        <v>87</v>
      </c>
    </row>
    <row r="6" spans="1:2" x14ac:dyDescent="0.25">
      <c r="B6" s="25"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Pivot 1</vt:lpstr>
      <vt:lpstr>Pivot 2</vt:lpstr>
      <vt:lpstr>Pivot 3</vt:lpstr>
      <vt:lpstr>Pivot 4</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2026-04-21T12:26:03Z</dcterms:created>
  <dcterms:modified xsi:type="dcterms:W3CDTF">2026-04-22T19:06:38Z</dcterms:modified>
</cp:coreProperties>
</file>